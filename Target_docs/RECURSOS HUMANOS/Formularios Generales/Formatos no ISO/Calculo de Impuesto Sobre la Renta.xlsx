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/>
  </bookViews>
  <sheets>
    <sheet name="Salario Por Hora" sheetId="1" r:id="rId1"/>
    <sheet name="Salario Por mes" sheetId="4" r:id="rId2"/>
    <sheet name="Sheet2" sheetId="2" r:id="rId3"/>
    <sheet name="Sheet3" sheetId="3" r:id="rId4"/>
  </sheets>
  <calcPr calcId="125725"/>
</workbook>
</file>

<file path=xl/calcChain.xml><?xml version="1.0" encoding="utf-8"?>
<calcChain xmlns="http://schemas.openxmlformats.org/spreadsheetml/2006/main">
  <c r="C11" i="4"/>
  <c r="C9"/>
  <c r="C8"/>
  <c r="C12"/>
  <c r="C20" s="1"/>
  <c r="C23" s="1"/>
  <c r="C16" i="1"/>
  <c r="C11"/>
  <c r="E5"/>
  <c r="C7" s="1"/>
  <c r="C17" i="4" l="1"/>
  <c r="C27" s="1"/>
  <c r="C10" i="1"/>
  <c r="C8"/>
  <c r="C18" l="1"/>
  <c r="C20" s="1"/>
  <c r="C24" s="1"/>
</calcChain>
</file>

<file path=xl/sharedStrings.xml><?xml version="1.0" encoding="utf-8"?>
<sst xmlns="http://schemas.openxmlformats.org/spreadsheetml/2006/main" count="43" uniqueCount="28">
  <si>
    <t>CALCULO DE IMPUESTO SOBRE LA RENTA</t>
  </si>
  <si>
    <t>Salario por hora</t>
  </si>
  <si>
    <t>Vacaciones Proporcionales</t>
  </si>
  <si>
    <t>XIII mes Proporcional</t>
  </si>
  <si>
    <t>Otros ingresos</t>
  </si>
  <si>
    <t>Aguinaldo, Bonificaciones, Primas</t>
  </si>
  <si>
    <t>Total de ingresos en el año (Renta Neta Gravable)</t>
  </si>
  <si>
    <t>Impuesto Causado</t>
  </si>
  <si>
    <t>ANUAL</t>
  </si>
  <si>
    <t>Impuesto Pagado</t>
  </si>
  <si>
    <t>Impuesto a Pagar</t>
  </si>
  <si>
    <t>Calculo de Descuento Bisemanal</t>
  </si>
  <si>
    <t>Cuántas bisemanas quedan en el año?</t>
  </si>
  <si>
    <t>Impuesto a pagar bisemanalmente</t>
  </si>
  <si>
    <t>Sobretiempo Mensual Promedio</t>
  </si>
  <si>
    <t>Salario Mensual</t>
  </si>
  <si>
    <t>INGRESOS</t>
  </si>
  <si>
    <t>IMPUESTOS</t>
  </si>
  <si>
    <t>Salario por Mes</t>
  </si>
  <si>
    <t>Gasto de Representacion por mes</t>
  </si>
  <si>
    <t>Total de Ingresos anualizados</t>
  </si>
  <si>
    <t>Ingresos totales anualizados</t>
  </si>
  <si>
    <t>Ingresos por 8 meses de sobretiempo</t>
  </si>
  <si>
    <t>Total de Sobretiempo, 8 meses</t>
  </si>
  <si>
    <t>Impuesto Pagado en Salario</t>
  </si>
  <si>
    <t>Impuesto Pagado en Gasto de Representación</t>
  </si>
  <si>
    <t>Para estimar un ISR, para Salarios por Hora</t>
  </si>
  <si>
    <t>Para estimar un ISR, para Salarios por Mes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</si>
</sst>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43" fontId="0" fillId="0" borderId="0" xfId="1" applyFont="1"/>
    <xf numFmtId="43" fontId="0" fillId="0" borderId="1" xfId="1" applyFont="1" applyBorder="1"/>
    <xf numFmtId="0" fontId="0" fillId="0" borderId="0" xfId="0" applyAlignment="1">
      <alignment horizontal="right"/>
    </xf>
    <xf numFmtId="0" fontId="3" fillId="0" borderId="0" xfId="0" applyFont="1"/>
    <xf numFmtId="44" fontId="0" fillId="0" borderId="0" xfId="2" applyFont="1"/>
    <xf numFmtId="44" fontId="2" fillId="2" borderId="0" xfId="2" applyFont="1" applyFill="1"/>
    <xf numFmtId="0" fontId="4" fillId="0" borderId="0" xfId="0" applyFont="1"/>
    <xf numFmtId="0" fontId="2" fillId="0" borderId="0" xfId="0" applyFont="1"/>
    <xf numFmtId="0" fontId="5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>
      <selection activeCell="A2" sqref="A2"/>
    </sheetView>
  </sheetViews>
  <sheetFormatPr defaultRowHeight="15"/>
  <cols>
    <col min="1" max="1" width="37.140625" bestFit="1" customWidth="1"/>
    <col min="3" max="3" width="10.5703125" bestFit="1" customWidth="1"/>
    <col min="6" max="6" width="14.7109375" customWidth="1"/>
  </cols>
  <sheetData>
    <row r="1" spans="1:6">
      <c r="A1" s="9" t="s">
        <v>0</v>
      </c>
    </row>
    <row r="2" spans="1:6">
      <c r="A2" s="10" t="s">
        <v>26</v>
      </c>
    </row>
    <row r="4" spans="1:6" ht="15.75" thickBot="1">
      <c r="A4" s="5" t="s">
        <v>16</v>
      </c>
    </row>
    <row r="5" spans="1:6" ht="15.75" thickBot="1">
      <c r="A5" t="s">
        <v>1</v>
      </c>
      <c r="C5" s="3"/>
      <c r="E5" s="2">
        <f>+C5*48*4.333</f>
        <v>0</v>
      </c>
      <c r="F5" t="s">
        <v>15</v>
      </c>
    </row>
    <row r="6" spans="1:6" ht="15.75" thickBot="1">
      <c r="A6" t="s">
        <v>14</v>
      </c>
      <c r="C6" s="3"/>
    </row>
    <row r="7" spans="1:6">
      <c r="A7" t="s">
        <v>2</v>
      </c>
      <c r="C7" s="2">
        <f>+E5</f>
        <v>0</v>
      </c>
    </row>
    <row r="8" spans="1:6">
      <c r="A8" t="s">
        <v>3</v>
      </c>
      <c r="C8" s="2">
        <f>+E5</f>
        <v>0</v>
      </c>
    </row>
    <row r="9" spans="1:6">
      <c r="C9" s="2"/>
    </row>
    <row r="10" spans="1:6">
      <c r="A10" t="s">
        <v>21</v>
      </c>
      <c r="C10" s="2">
        <f>+E5*11</f>
        <v>0</v>
      </c>
    </row>
    <row r="11" spans="1:6">
      <c r="A11" t="s">
        <v>22</v>
      </c>
      <c r="C11" s="2">
        <f>+C6*8</f>
        <v>0</v>
      </c>
    </row>
    <row r="12" spans="1:6">
      <c r="C12" s="2"/>
    </row>
    <row r="13" spans="1:6" ht="15.75" thickBot="1">
      <c r="A13" s="5" t="s">
        <v>4</v>
      </c>
    </row>
    <row r="14" spans="1:6" ht="15.75" thickBot="1">
      <c r="A14" t="s">
        <v>5</v>
      </c>
      <c r="C14" s="3">
        <v>0</v>
      </c>
    </row>
    <row r="16" spans="1:6">
      <c r="A16" t="s">
        <v>6</v>
      </c>
      <c r="C16" s="2">
        <f>+C7+C8+C10+C14+E5+C11</f>
        <v>0</v>
      </c>
    </row>
    <row r="18" spans="1:4" ht="15.75" thickBot="1">
      <c r="A18" s="5" t="s">
        <v>17</v>
      </c>
      <c r="C18" s="6">
        <f>+IF(C16&gt;11000,(C16-11000)*15%,0)</f>
        <v>0</v>
      </c>
      <c r="D18" t="s">
        <v>8</v>
      </c>
    </row>
    <row r="19" spans="1:4" ht="15.75" thickBot="1">
      <c r="A19" t="s">
        <v>7</v>
      </c>
      <c r="C19" s="3">
        <v>0</v>
      </c>
    </row>
    <row r="20" spans="1:4">
      <c r="A20" t="s">
        <v>9</v>
      </c>
      <c r="C20" s="6">
        <f>+C18-C19</f>
        <v>0</v>
      </c>
    </row>
    <row r="21" spans="1:4">
      <c r="A21" t="s">
        <v>10</v>
      </c>
    </row>
    <row r="22" spans="1:4" ht="15.75" thickBot="1"/>
    <row r="23" spans="1:4" ht="15.75" thickBot="1">
      <c r="A23" t="s">
        <v>11</v>
      </c>
      <c r="B23" s="1">
        <v>26</v>
      </c>
    </row>
    <row r="24" spans="1:4">
      <c r="A24" s="4" t="s">
        <v>12</v>
      </c>
      <c r="C24" s="7">
        <f>+IF(B23=0,0,C20/B23)</f>
        <v>0</v>
      </c>
    </row>
    <row r="25" spans="1:4">
      <c r="A25" s="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activeCell="A3" sqref="A3"/>
    </sheetView>
  </sheetViews>
  <sheetFormatPr defaultRowHeight="15"/>
  <cols>
    <col min="1" max="1" width="45.7109375" bestFit="1" customWidth="1"/>
    <col min="3" max="3" width="15.28515625" bestFit="1" customWidth="1"/>
  </cols>
  <sheetData>
    <row r="1" spans="1:5" ht="15.75">
      <c r="A1" s="8" t="s">
        <v>0</v>
      </c>
    </row>
    <row r="2" spans="1:5">
      <c r="A2" s="10" t="s">
        <v>27</v>
      </c>
    </row>
    <row r="4" spans="1:5" ht="15.75" thickBot="1">
      <c r="A4" s="5" t="s">
        <v>16</v>
      </c>
    </row>
    <row r="5" spans="1:5" ht="15.75" thickBot="1">
      <c r="A5" t="s">
        <v>18</v>
      </c>
      <c r="C5" s="3"/>
      <c r="E5" s="2"/>
    </row>
    <row r="6" spans="1:5" ht="15.75" thickBot="1">
      <c r="A6" t="s">
        <v>19</v>
      </c>
      <c r="C6" s="3"/>
      <c r="E6" s="2"/>
    </row>
    <row r="7" spans="1:5" ht="15.75" thickBot="1">
      <c r="A7" t="s">
        <v>14</v>
      </c>
      <c r="C7" s="3"/>
    </row>
    <row r="8" spans="1:5">
      <c r="A8" t="s">
        <v>2</v>
      </c>
      <c r="C8" s="2">
        <f>+C5+C6</f>
        <v>0</v>
      </c>
    </row>
    <row r="9" spans="1:5">
      <c r="A9" t="s">
        <v>3</v>
      </c>
      <c r="C9" s="2">
        <f>+C5+C6</f>
        <v>0</v>
      </c>
    </row>
    <row r="10" spans="1:5">
      <c r="C10" s="2"/>
    </row>
    <row r="11" spans="1:5">
      <c r="A11" t="s">
        <v>20</v>
      </c>
      <c r="C11" s="2">
        <f>+C5*11+C6*11</f>
        <v>0</v>
      </c>
    </row>
    <row r="12" spans="1:5">
      <c r="A12" t="s">
        <v>23</v>
      </c>
      <c r="C12" s="2">
        <f>+C7*8</f>
        <v>0</v>
      </c>
    </row>
    <row r="13" spans="1:5">
      <c r="C13" s="2"/>
    </row>
    <row r="14" spans="1:5" ht="15.75" thickBot="1">
      <c r="A14" s="5" t="s">
        <v>4</v>
      </c>
      <c r="C14" s="2"/>
    </row>
    <row r="15" spans="1:5" ht="15.75" thickBot="1">
      <c r="A15" t="s">
        <v>5</v>
      </c>
      <c r="C15" s="3">
        <v>0</v>
      </c>
    </row>
    <row r="16" spans="1:5">
      <c r="C16" s="2"/>
    </row>
    <row r="17" spans="1:4">
      <c r="A17" t="s">
        <v>6</v>
      </c>
      <c r="C17" s="2">
        <f>+C11+C12+C8+C9+C15</f>
        <v>0</v>
      </c>
    </row>
    <row r="18" spans="1:4">
      <c r="C18" s="2"/>
    </row>
    <row r="19" spans="1:4">
      <c r="A19" s="5" t="s">
        <v>17</v>
      </c>
    </row>
    <row r="20" spans="1:4" ht="15.75" thickBot="1">
      <c r="A20" t="s">
        <v>7</v>
      </c>
      <c r="C20" s="6">
        <f>+IF((C5*11+C5+C5+C12)&gt;11000,((C5*11+C5+C5+C12)-11000)*15%,0)+IF((C6*11+C6+C6)&gt;11000,((C6*11+C6+C6)-11000)*10%,0)</f>
        <v>0</v>
      </c>
      <c r="D20" t="s">
        <v>8</v>
      </c>
    </row>
    <row r="21" spans="1:4" ht="15.75" thickBot="1">
      <c r="A21" t="s">
        <v>24</v>
      </c>
      <c r="C21" s="3">
        <v>0</v>
      </c>
    </row>
    <row r="22" spans="1:4" ht="15.75" thickBot="1">
      <c r="A22" t="s">
        <v>25</v>
      </c>
      <c r="C22" s="3">
        <v>0</v>
      </c>
    </row>
    <row r="23" spans="1:4">
      <c r="A23" t="s">
        <v>10</v>
      </c>
      <c r="C23" s="6">
        <f>+C20-C21-C22</f>
        <v>0</v>
      </c>
    </row>
    <row r="25" spans="1:4" ht="15.75" thickBot="1">
      <c r="A25" t="s">
        <v>11</v>
      </c>
    </row>
    <row r="26" spans="1:4" ht="15.75" thickBot="1">
      <c r="A26" s="4" t="s">
        <v>12</v>
      </c>
      <c r="B26" s="1">
        <v>26</v>
      </c>
    </row>
    <row r="27" spans="1:4">
      <c r="A27" s="4" t="s">
        <v>13</v>
      </c>
      <c r="C27" s="7">
        <f>+IF(B26=0,0,C23/B26)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Salario Por Hora</vt:lpstr>
      <vt:lpstr>Salario Por mes</vt:lpstr>
      <vt:lpstr>Sheet2</vt:lpstr>
      <vt:lpstr>Sheet3</vt:lpstr>
    </vt:vector>
  </TitlesOfParts>
  <Company>ICONSA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Kosmas</dc:creator>
  <cp:lastModifiedBy>Samantha Kosmas</cp:lastModifiedBy>
  <cp:lastPrinted>2011-11-24T20:20:24Z</cp:lastPrinted>
  <dcterms:created xsi:type="dcterms:W3CDTF">2011-08-17T19:28:20Z</dcterms:created>
  <dcterms:modified xsi:type="dcterms:W3CDTF">2011-11-24T20:20:30Z</dcterms:modified>
</cp:coreProperties>
</file>